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ash\Desktop\"/>
    </mc:Choice>
  </mc:AlternateContent>
  <bookViews>
    <workbookView xWindow="0" yWindow="0" windowWidth="23040" windowHeight="9780" tabRatio="699" firstSheet="5" activeTab="8"/>
  </bookViews>
  <sheets>
    <sheet name="Rapport de solution 1" sheetId="2" r:id="rId1"/>
    <sheet name="Rapport de sensibilité 1" sheetId="3" r:id="rId2"/>
    <sheet name="Rapport des limites 1" sheetId="4" r:id="rId3"/>
    <sheet name="TD1" sheetId="1" r:id="rId4"/>
    <sheet name="Rapport de solution 2" sheetId="6" r:id="rId5"/>
    <sheet name="Rapport de sensibilité 2" sheetId="7" r:id="rId6"/>
    <sheet name="Rapport des limites 2" sheetId="8" r:id="rId7"/>
    <sheet name="TD2" sheetId="5" r:id="rId8"/>
    <sheet name="Rapport de solution 3" sheetId="10" r:id="rId9"/>
    <sheet name="Rapport de sensibilité 3" sheetId="11" r:id="rId10"/>
    <sheet name="Rapport des limites 3" sheetId="12" r:id="rId11"/>
    <sheet name="TD3" sheetId="9" r:id="rId12"/>
  </sheets>
  <definedNames>
    <definedName name="solver_adj" localSheetId="3" hidden="1">'TD1'!$C$8:$D$8</definedName>
    <definedName name="solver_adj" localSheetId="7" hidden="1">'TD2'!$C$6:$D$6</definedName>
    <definedName name="solver_adj" localSheetId="11" hidden="1">'TD3'!$D$8:$E$8</definedName>
    <definedName name="solver_cvg" localSheetId="3" hidden="1">0.0001</definedName>
    <definedName name="solver_cvg" localSheetId="7" hidden="1">0.0001</definedName>
    <definedName name="solver_cvg" localSheetId="11" hidden="1">0.0001</definedName>
    <definedName name="solver_drv" localSheetId="3" hidden="1">2</definedName>
    <definedName name="solver_drv" localSheetId="7" hidden="1">1</definedName>
    <definedName name="solver_drv" localSheetId="11" hidden="1">1</definedName>
    <definedName name="solver_eng" localSheetId="3" hidden="1">2</definedName>
    <definedName name="solver_eng" localSheetId="7" hidden="1">2</definedName>
    <definedName name="solver_eng" localSheetId="11" hidden="1">2</definedName>
    <definedName name="solver_est" localSheetId="3" hidden="1">1</definedName>
    <definedName name="solver_est" localSheetId="7" hidden="1">1</definedName>
    <definedName name="solver_est" localSheetId="11" hidden="1">1</definedName>
    <definedName name="solver_itr" localSheetId="3" hidden="1">2147483647</definedName>
    <definedName name="solver_itr" localSheetId="7" hidden="1">2147483647</definedName>
    <definedName name="solver_itr" localSheetId="11" hidden="1">2147483647</definedName>
    <definedName name="solver_lhs1" localSheetId="3" hidden="1">'TD1'!$C$8</definedName>
    <definedName name="solver_lhs1" localSheetId="7" hidden="1">'TD2'!$C$6</definedName>
    <definedName name="solver_lhs1" localSheetId="11" hidden="1">'TD3'!$D$8</definedName>
    <definedName name="solver_lhs2" localSheetId="3" hidden="1">'TD1'!$D$8</definedName>
    <definedName name="solver_lhs2" localSheetId="7" hidden="1">'TD2'!$D$6</definedName>
    <definedName name="solver_lhs2" localSheetId="11" hidden="1">'TD3'!$E$8</definedName>
    <definedName name="solver_lhs3" localSheetId="3" hidden="1">'TD1'!$E$14</definedName>
    <definedName name="solver_lhs3" localSheetId="7" hidden="1">'TD2'!$E$12</definedName>
    <definedName name="solver_lhs3" localSheetId="11" hidden="1">'TD3'!$F$14</definedName>
    <definedName name="solver_lhs4" localSheetId="3" hidden="1">'TD1'!$E$15</definedName>
    <definedName name="solver_lhs4" localSheetId="7" hidden="1">'TD2'!$E$13</definedName>
    <definedName name="solver_lhs4" localSheetId="11" hidden="1">'TD3'!$F$15</definedName>
    <definedName name="solver_lhs5" localSheetId="3" hidden="1">'TD1'!$E$16</definedName>
    <definedName name="solver_lhs5" localSheetId="7" hidden="1">'TD2'!$E$14</definedName>
    <definedName name="solver_lhs5" localSheetId="11" hidden="1">'TD3'!$F$16</definedName>
    <definedName name="solver_mip" localSheetId="3" hidden="1">2147483647</definedName>
    <definedName name="solver_mip" localSheetId="7" hidden="1">2147483647</definedName>
    <definedName name="solver_mip" localSheetId="11" hidden="1">2147483647</definedName>
    <definedName name="solver_mni" localSheetId="3" hidden="1">30</definedName>
    <definedName name="solver_mni" localSheetId="7" hidden="1">30</definedName>
    <definedName name="solver_mni" localSheetId="11" hidden="1">30</definedName>
    <definedName name="solver_mrt" localSheetId="3" hidden="1">0.075</definedName>
    <definedName name="solver_mrt" localSheetId="7" hidden="1">0.075</definedName>
    <definedName name="solver_mrt" localSheetId="11" hidden="1">0.075</definedName>
    <definedName name="solver_msl" localSheetId="3" hidden="1">2</definedName>
    <definedName name="solver_msl" localSheetId="7" hidden="1">2</definedName>
    <definedName name="solver_msl" localSheetId="11" hidden="1">2</definedName>
    <definedName name="solver_neg" localSheetId="3" hidden="1">1</definedName>
    <definedName name="solver_neg" localSheetId="7" hidden="1">1</definedName>
    <definedName name="solver_neg" localSheetId="11" hidden="1">1</definedName>
    <definedName name="solver_nod" localSheetId="3" hidden="1">2147483647</definedName>
    <definedName name="solver_nod" localSheetId="7" hidden="1">2147483647</definedName>
    <definedName name="solver_nod" localSheetId="11" hidden="1">2147483647</definedName>
    <definedName name="solver_num" localSheetId="3" hidden="1">5</definedName>
    <definedName name="solver_num" localSheetId="7" hidden="1">5</definedName>
    <definedName name="solver_num" localSheetId="11" hidden="1">5</definedName>
    <definedName name="solver_nwt" localSheetId="3" hidden="1">1</definedName>
    <definedName name="solver_nwt" localSheetId="7" hidden="1">1</definedName>
    <definedName name="solver_nwt" localSheetId="11" hidden="1">1</definedName>
    <definedName name="solver_opt" localSheetId="3" hidden="1">'TD1'!$E$11</definedName>
    <definedName name="solver_opt" localSheetId="7" hidden="1">'TD2'!$E$9</definedName>
    <definedName name="solver_opt" localSheetId="11" hidden="1">'TD3'!$F$11</definedName>
    <definedName name="solver_pre" localSheetId="3" hidden="1">0.000001</definedName>
    <definedName name="solver_pre" localSheetId="7" hidden="1">0.000001</definedName>
    <definedName name="solver_pre" localSheetId="11" hidden="1">0.000001</definedName>
    <definedName name="solver_rbv" localSheetId="3" hidden="1">2</definedName>
    <definedName name="solver_rbv" localSheetId="7" hidden="1">1</definedName>
    <definedName name="solver_rbv" localSheetId="11" hidden="1">1</definedName>
    <definedName name="solver_rel1" localSheetId="3" hidden="1">3</definedName>
    <definedName name="solver_rel1" localSheetId="7" hidden="1">3</definedName>
    <definedName name="solver_rel1" localSheetId="11" hidden="1">3</definedName>
    <definedName name="solver_rel2" localSheetId="3" hidden="1">3</definedName>
    <definedName name="solver_rel2" localSheetId="7" hidden="1">3</definedName>
    <definedName name="solver_rel2" localSheetId="11" hidden="1">3</definedName>
    <definedName name="solver_rel3" localSheetId="3" hidden="1">1</definedName>
    <definedName name="solver_rel3" localSheetId="7" hidden="1">1</definedName>
    <definedName name="solver_rel3" localSheetId="11" hidden="1">3</definedName>
    <definedName name="solver_rel4" localSheetId="3" hidden="1">1</definedName>
    <definedName name="solver_rel4" localSheetId="7" hidden="1">1</definedName>
    <definedName name="solver_rel4" localSheetId="11" hidden="1">3</definedName>
    <definedName name="solver_rel5" localSheetId="3" hidden="1">1</definedName>
    <definedName name="solver_rel5" localSheetId="7" hidden="1">1</definedName>
    <definedName name="solver_rel5" localSheetId="11" hidden="1">3</definedName>
    <definedName name="solver_rhs1" localSheetId="3" hidden="1">0</definedName>
    <definedName name="solver_rhs1" localSheetId="7" hidden="1">0</definedName>
    <definedName name="solver_rhs1" localSheetId="11" hidden="1">0</definedName>
    <definedName name="solver_rhs2" localSheetId="3" hidden="1">0</definedName>
    <definedName name="solver_rhs2" localSheetId="7" hidden="1">0</definedName>
    <definedName name="solver_rhs2" localSheetId="11" hidden="1">0</definedName>
    <definedName name="solver_rhs3" localSheetId="3" hidden="1">'TD1'!$F$14</definedName>
    <definedName name="solver_rhs3" localSheetId="7" hidden="1">'TD2'!$F$12</definedName>
    <definedName name="solver_rhs3" localSheetId="11" hidden="1">'TD3'!$G$14</definedName>
    <definedName name="solver_rhs4" localSheetId="3" hidden="1">'TD1'!$F$15</definedName>
    <definedName name="solver_rhs4" localSheetId="7" hidden="1">'TD2'!$F$13</definedName>
    <definedName name="solver_rhs4" localSheetId="11" hidden="1">'TD3'!$G$15</definedName>
    <definedName name="solver_rhs5" localSheetId="3" hidden="1">'TD1'!$F$16</definedName>
    <definedName name="solver_rhs5" localSheetId="7" hidden="1">'TD2'!$F$14</definedName>
    <definedName name="solver_rhs5" localSheetId="11" hidden="1">'TD3'!$G$16</definedName>
    <definedName name="solver_rlx" localSheetId="3" hidden="1">2</definedName>
    <definedName name="solver_rlx" localSheetId="7" hidden="1">2</definedName>
    <definedName name="solver_rlx" localSheetId="11" hidden="1">2</definedName>
    <definedName name="solver_rsd" localSheetId="3" hidden="1">0</definedName>
    <definedName name="solver_rsd" localSheetId="7" hidden="1">0</definedName>
    <definedName name="solver_rsd" localSheetId="11" hidden="1">0</definedName>
    <definedName name="solver_scl" localSheetId="3" hidden="1">2</definedName>
    <definedName name="solver_scl" localSheetId="7" hidden="1">1</definedName>
    <definedName name="solver_scl" localSheetId="11" hidden="1">1</definedName>
    <definedName name="solver_sho" localSheetId="2" hidden="1">2</definedName>
    <definedName name="solver_sho" localSheetId="6" hidden="1">2</definedName>
    <definedName name="solver_sho" localSheetId="10" hidden="1">2</definedName>
    <definedName name="solver_sho" localSheetId="3" hidden="1">2</definedName>
    <definedName name="solver_sho" localSheetId="7" hidden="1">2</definedName>
    <definedName name="solver_sho" localSheetId="11" hidden="1">2</definedName>
    <definedName name="solver_ssz" localSheetId="3" hidden="1">100</definedName>
    <definedName name="solver_ssz" localSheetId="7" hidden="1">100</definedName>
    <definedName name="solver_ssz" localSheetId="11" hidden="1">100</definedName>
    <definedName name="solver_tim" localSheetId="3" hidden="1">2147483647</definedName>
    <definedName name="solver_tim" localSheetId="7" hidden="1">2147483647</definedName>
    <definedName name="solver_tim" localSheetId="11" hidden="1">2147483647</definedName>
    <definedName name="solver_tol" localSheetId="3" hidden="1">0.01</definedName>
    <definedName name="solver_tol" localSheetId="7" hidden="1">0.01</definedName>
    <definedName name="solver_tol" localSheetId="11" hidden="1">0.01</definedName>
    <definedName name="solver_typ" localSheetId="3" hidden="1">1</definedName>
    <definedName name="solver_typ" localSheetId="7" hidden="1">1</definedName>
    <definedName name="solver_typ" localSheetId="11" hidden="1">2</definedName>
    <definedName name="solver_val" localSheetId="3" hidden="1">0</definedName>
    <definedName name="solver_val" localSheetId="7" hidden="1">0</definedName>
    <definedName name="solver_val" localSheetId="11" hidden="1">0</definedName>
    <definedName name="solver_ver" localSheetId="3" hidden="1">3</definedName>
    <definedName name="solver_ver" localSheetId="7" hidden="1">3</definedName>
    <definedName name="solver_ver" localSheetId="11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9" l="1"/>
  <c r="F15" i="9"/>
  <c r="F14" i="9"/>
  <c r="F11" i="9"/>
  <c r="E9" i="5"/>
  <c r="E14" i="5"/>
  <c r="E13" i="5"/>
  <c r="E12" i="5"/>
  <c r="E16" i="1" l="1"/>
  <c r="E15" i="1"/>
  <c r="E14" i="1"/>
  <c r="E11" i="1"/>
</calcChain>
</file>

<file path=xl/sharedStrings.xml><?xml version="1.0" encoding="utf-8"?>
<sst xmlns="http://schemas.openxmlformats.org/spreadsheetml/2006/main" count="357" uniqueCount="91">
  <si>
    <t>Probleme de maximisation</t>
  </si>
  <si>
    <t>Etape 1 : Définir les variables</t>
  </si>
  <si>
    <t>X1</t>
  </si>
  <si>
    <t>X2</t>
  </si>
  <si>
    <t>Etape 2 : Définir la F O</t>
  </si>
  <si>
    <t>Etape 3 : Les contraintes</t>
  </si>
  <si>
    <t>Microsoft Excel 16.0 Rapport de solution</t>
  </si>
  <si>
    <t>Feuille : [Classeur1]Feuil1</t>
  </si>
  <si>
    <t>Date du rapport : 18/11/2025 11:47:24</t>
  </si>
  <si>
    <t>Résultat : Le Solveur a trouvé une solution satisfaisant toutes les contraintes et les conditions d’optimisation.</t>
  </si>
  <si>
    <t>Moteur du solveur</t>
  </si>
  <si>
    <t>Moteur : Simplex PL</t>
  </si>
  <si>
    <t>Heure de la solution : 0,031 secondes.</t>
  </si>
  <si>
    <t>Itérations : 2 Sous-problèmes : 0</t>
  </si>
  <si>
    <t>Options du solveur</t>
  </si>
  <si>
    <t>Temps max Illimité,  Itérations Illimité, Precision 0,000001</t>
  </si>
  <si>
    <t>Sous-problèmes max Illimité, Solutions de nombre entier max Illimité, Tolérance des nombres entiers 1%, Supposé non négatif</t>
  </si>
  <si>
    <t>Cellule objectif (Max)</t>
  </si>
  <si>
    <t>Cellule</t>
  </si>
  <si>
    <t>Nom</t>
  </si>
  <si>
    <t>Valeur initiale</t>
  </si>
  <si>
    <t>Valeur finale</t>
  </si>
  <si>
    <t>Cellules variables</t>
  </si>
  <si>
    <t>Entier</t>
  </si>
  <si>
    <t>Contraintes</t>
  </si>
  <si>
    <t>Valeur de la cellule</t>
  </si>
  <si>
    <t>Formule</t>
  </si>
  <si>
    <t>État</t>
  </si>
  <si>
    <t>Marge</t>
  </si>
  <si>
    <t>$E$11</t>
  </si>
  <si>
    <t>$C$8</t>
  </si>
  <si>
    <t>Suite</t>
  </si>
  <si>
    <t>$D$8</t>
  </si>
  <si>
    <t>$E$14</t>
  </si>
  <si>
    <t>$E$14&lt;=$F$14</t>
  </si>
  <si>
    <t>Lié</t>
  </si>
  <si>
    <t>$E$15</t>
  </si>
  <si>
    <t>$E$15&lt;=$F$15</t>
  </si>
  <si>
    <t>$E$16</t>
  </si>
  <si>
    <t>$E$16&lt;=$F$16</t>
  </si>
  <si>
    <t>Non lié</t>
  </si>
  <si>
    <t>$C$8&gt;=0</t>
  </si>
  <si>
    <t>$D$8&gt;=0</t>
  </si>
  <si>
    <t>Microsoft Excel 16.0 Rapport de sensibilité</t>
  </si>
  <si>
    <t>Date du rapport : 18/11/2025 11:47:25</t>
  </si>
  <si>
    <t>Finale</t>
  </si>
  <si>
    <t>Valeur</t>
  </si>
  <si>
    <t>Marginale</t>
  </si>
  <si>
    <t>Objectif</t>
  </si>
  <si>
    <t>Coefficient</t>
  </si>
  <si>
    <t>Supérieure</t>
  </si>
  <si>
    <t>Inférieure</t>
  </si>
  <si>
    <t>Contrainte</t>
  </si>
  <si>
    <t>à droite</t>
  </si>
  <si>
    <t>Microsoft Excel 16.0 Rapport des limites</t>
  </si>
  <si>
    <t>Variable</t>
  </si>
  <si>
    <t>Limite</t>
  </si>
  <si>
    <t>Résultat</t>
  </si>
  <si>
    <t>x1</t>
  </si>
  <si>
    <t>x2</t>
  </si>
  <si>
    <t>Etape 2 :  Définir la F O</t>
  </si>
  <si>
    <t>Etape 3 :  Contraintes</t>
  </si>
  <si>
    <t>Feuille : [TP_Abdallah_DIOUF_ISIKM.xlsx]Feuil1</t>
  </si>
  <si>
    <t>Date du rapport : 18/11/2025 12:47:14</t>
  </si>
  <si>
    <t>Temps max Illimité,  Itérations Illimité, Precision 0,000001, Échelle automatique</t>
  </si>
  <si>
    <t>$E$9</t>
  </si>
  <si>
    <t>$C$6</t>
  </si>
  <si>
    <t>$D$6</t>
  </si>
  <si>
    <t>$E$12</t>
  </si>
  <si>
    <t>$E$12&lt;=$F$12</t>
  </si>
  <si>
    <t>$E$13</t>
  </si>
  <si>
    <t>$E$13&lt;=$F$13</t>
  </si>
  <si>
    <t>$C$6&gt;=0</t>
  </si>
  <si>
    <t>$D$6&gt;=0</t>
  </si>
  <si>
    <t>Date du rapport : 18/11/2025 12:47:15</t>
  </si>
  <si>
    <t>Probleme de minimisation</t>
  </si>
  <si>
    <t>Feuille : [TP_Abdallah_DIOUF_ISIKM.xlsx]TD3</t>
  </si>
  <si>
    <t>Date du rapport : 18/11/2025 12:56:26</t>
  </si>
  <si>
    <t>Heure de la solution : 0,015 secondes.</t>
  </si>
  <si>
    <t>Itérations : 3 Sous-problèmes : 0</t>
  </si>
  <si>
    <t>Cellule objectif (Min)</t>
  </si>
  <si>
    <t>$F$11</t>
  </si>
  <si>
    <t>$E$8</t>
  </si>
  <si>
    <t>$F$14</t>
  </si>
  <si>
    <t>$F$14&gt;=3000</t>
  </si>
  <si>
    <t>$F$15</t>
  </si>
  <si>
    <t>$F$15&gt;=$G$15</t>
  </si>
  <si>
    <t>$F$16</t>
  </si>
  <si>
    <t>$F$16&gt;=$G$16</t>
  </si>
  <si>
    <t>$E$8&gt;=0</t>
  </si>
  <si>
    <t>Date du rapport : 18/11/2025 12:56:27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</si>
</sst>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3" fillId="0" borderId="0" xfId="2"/>
    <xf numFmtId="0" fontId="0" fillId="0" borderId="1" xfId="0" applyBorder="1"/>
    <xf numFmtId="0" fontId="0" fillId="0" borderId="2" xfId="0" applyBorder="1"/>
    <xf numFmtId="0" fontId="0" fillId="0" borderId="0" xfId="0" applyFill="1" applyBorder="1"/>
    <xf numFmtId="0" fontId="2" fillId="0" borderId="0" xfId="0" applyFont="1" applyFill="1" applyBorder="1" applyAlignment="1"/>
    <xf numFmtId="41" fontId="0" fillId="2" borderId="1" xfId="1" applyFont="1" applyFill="1" applyBorder="1"/>
    <xf numFmtId="41" fontId="0" fillId="0" borderId="1" xfId="1" applyFont="1" applyBorder="1"/>
    <xf numFmtId="0" fontId="2" fillId="0" borderId="0" xfId="0" applyFont="1"/>
    <xf numFmtId="0" fontId="0" fillId="0" borderId="7" xfId="0" applyFill="1" applyBorder="1" applyAlignment="1"/>
    <xf numFmtId="0" fontId="5" fillId="0" borderId="6" xfId="0" applyFont="1" applyFill="1" applyBorder="1" applyAlignment="1">
      <alignment horizontal="center"/>
    </xf>
    <xf numFmtId="0" fontId="0" fillId="0" borderId="8" xfId="0" applyFill="1" applyBorder="1" applyAlignment="1"/>
    <xf numFmtId="41" fontId="0" fillId="0" borderId="7" xfId="0" applyNumberFormat="1" applyFill="1" applyBorder="1" applyAlignment="1"/>
    <xf numFmtId="41" fontId="0" fillId="0" borderId="8" xfId="0" applyNumberFormat="1" applyFill="1" applyBorder="1" applyAlignment="1"/>
    <xf numFmtId="0" fontId="5" fillId="0" borderId="4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0" fillId="0" borderId="3" xfId="0" applyBorder="1"/>
    <xf numFmtId="0" fontId="6" fillId="0" borderId="6" xfId="0" applyFont="1" applyFill="1" applyBorder="1" applyAlignment="1">
      <alignment horizontal="center"/>
    </xf>
    <xf numFmtId="0" fontId="0" fillId="0" borderId="7" xfId="0" applyNumberFormat="1" applyFill="1" applyBorder="1" applyAlignment="1"/>
    <xf numFmtId="0" fontId="0" fillId="0" borderId="8" xfId="0" applyNumberFormat="1" applyFill="1" applyBorder="1" applyAlignment="1"/>
    <xf numFmtId="0" fontId="6" fillId="0" borderId="4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0" fillId="0" borderId="8" xfId="0" applyNumberFormat="1" applyFill="1" applyBorder="1" applyAlignment="1">
      <alignment horizontal="left"/>
    </xf>
    <xf numFmtId="0" fontId="0" fillId="0" borderId="7" xfId="0" applyNumberFormat="1" applyFill="1" applyBorder="1" applyAlignment="1">
      <alignment horizontal="left"/>
    </xf>
  </cellXfs>
  <cellStyles count="3">
    <cellStyle name="Lien hypertexte" xfId="2" builtinId="8"/>
    <cellStyle name="Millier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showGridLines="0" topLeftCell="A10" workbookViewId="0">
      <selection activeCell="E27" sqref="E27"/>
    </sheetView>
  </sheetViews>
  <sheetFormatPr baseColWidth="10" defaultRowHeight="14.4" x14ac:dyDescent="0.3"/>
  <cols>
    <col min="1" max="7" width="13" customWidth="1"/>
  </cols>
  <sheetData>
    <row r="1" spans="1:5" x14ac:dyDescent="0.3">
      <c r="A1" s="8" t="s">
        <v>6</v>
      </c>
    </row>
    <row r="2" spans="1:5" x14ac:dyDescent="0.3">
      <c r="A2" s="8" t="s">
        <v>7</v>
      </c>
    </row>
    <row r="3" spans="1:5" x14ac:dyDescent="0.3">
      <c r="A3" s="8" t="s">
        <v>8</v>
      </c>
    </row>
    <row r="4" spans="1:5" x14ac:dyDescent="0.3">
      <c r="A4" s="8" t="s">
        <v>9</v>
      </c>
    </row>
    <row r="5" spans="1:5" x14ac:dyDescent="0.3">
      <c r="A5" s="8" t="s">
        <v>10</v>
      </c>
    </row>
    <row r="6" spans="1:5" x14ac:dyDescent="0.3">
      <c r="A6" s="8"/>
      <c r="B6" t="s">
        <v>11</v>
      </c>
    </row>
    <row r="7" spans="1:5" x14ac:dyDescent="0.3">
      <c r="A7" s="8"/>
      <c r="B7" t="s">
        <v>12</v>
      </c>
    </row>
    <row r="8" spans="1:5" x14ac:dyDescent="0.3">
      <c r="A8" s="8"/>
      <c r="B8" t="s">
        <v>13</v>
      </c>
    </row>
    <row r="9" spans="1:5" x14ac:dyDescent="0.3">
      <c r="A9" s="8" t="s">
        <v>14</v>
      </c>
    </row>
    <row r="10" spans="1:5" x14ac:dyDescent="0.3">
      <c r="B10" t="s">
        <v>15</v>
      </c>
    </row>
    <row r="11" spans="1:5" x14ac:dyDescent="0.3">
      <c r="B11" t="s">
        <v>16</v>
      </c>
    </row>
    <row r="14" spans="1:5" ht="15" thickBot="1" x14ac:dyDescent="0.35">
      <c r="A14" t="s">
        <v>17</v>
      </c>
    </row>
    <row r="15" spans="1:5" ht="15" thickBot="1" x14ac:dyDescent="0.35">
      <c r="B15" s="10" t="s">
        <v>18</v>
      </c>
      <c r="C15" s="10" t="s">
        <v>19</v>
      </c>
      <c r="D15" s="10" t="s">
        <v>20</v>
      </c>
      <c r="E15" s="10" t="s">
        <v>21</v>
      </c>
    </row>
    <row r="16" spans="1:5" ht="15" thickBot="1" x14ac:dyDescent="0.35">
      <c r="B16" s="9" t="s">
        <v>29</v>
      </c>
      <c r="C16" s="9"/>
      <c r="D16" s="12">
        <v>680000000</v>
      </c>
      <c r="E16" s="12">
        <v>680000000</v>
      </c>
    </row>
    <row r="19" spans="1:7" ht="15" thickBot="1" x14ac:dyDescent="0.35">
      <c r="A19" t="s">
        <v>22</v>
      </c>
    </row>
    <row r="20" spans="1:7" ht="15" thickBot="1" x14ac:dyDescent="0.35">
      <c r="B20" s="10" t="s">
        <v>18</v>
      </c>
      <c r="C20" s="10" t="s">
        <v>19</v>
      </c>
      <c r="D20" s="10" t="s">
        <v>20</v>
      </c>
      <c r="E20" s="10" t="s">
        <v>21</v>
      </c>
      <c r="F20" s="10" t="s">
        <v>23</v>
      </c>
    </row>
    <row r="21" spans="1:7" x14ac:dyDescent="0.3">
      <c r="B21" s="11" t="s">
        <v>30</v>
      </c>
      <c r="C21" s="11" t="s">
        <v>2</v>
      </c>
      <c r="D21" s="13">
        <v>2999.9999999999995</v>
      </c>
      <c r="E21" s="13">
        <v>2999.9999999999995</v>
      </c>
      <c r="F21" s="11" t="s">
        <v>31</v>
      </c>
    </row>
    <row r="22" spans="1:7" ht="15" thickBot="1" x14ac:dyDescent="0.35">
      <c r="B22" s="9" t="s">
        <v>32</v>
      </c>
      <c r="C22" s="9" t="s">
        <v>3</v>
      </c>
      <c r="D22" s="12">
        <v>7000</v>
      </c>
      <c r="E22" s="12">
        <v>7000</v>
      </c>
      <c r="F22" s="9" t="s">
        <v>31</v>
      </c>
    </row>
    <row r="25" spans="1:7" ht="15" thickBot="1" x14ac:dyDescent="0.35">
      <c r="A25" t="s">
        <v>24</v>
      </c>
    </row>
    <row r="26" spans="1:7" ht="15" thickBot="1" x14ac:dyDescent="0.35">
      <c r="B26" s="10" t="s">
        <v>18</v>
      </c>
      <c r="C26" s="10" t="s">
        <v>19</v>
      </c>
      <c r="D26" s="10" t="s">
        <v>25</v>
      </c>
      <c r="E26" s="10" t="s">
        <v>26</v>
      </c>
      <c r="F26" s="10" t="s">
        <v>27</v>
      </c>
      <c r="G26" s="10" t="s">
        <v>28</v>
      </c>
    </row>
    <row r="27" spans="1:7" x14ac:dyDescent="0.3">
      <c r="B27" s="11" t="s">
        <v>33</v>
      </c>
      <c r="C27" s="11"/>
      <c r="D27" s="13">
        <v>10000</v>
      </c>
      <c r="E27" s="11" t="s">
        <v>34</v>
      </c>
      <c r="F27" s="11" t="s">
        <v>35</v>
      </c>
      <c r="G27" s="11">
        <v>0</v>
      </c>
    </row>
    <row r="28" spans="1:7" x14ac:dyDescent="0.3">
      <c r="B28" s="11" t="s">
        <v>36</v>
      </c>
      <c r="C28" s="11"/>
      <c r="D28" s="13">
        <v>48000</v>
      </c>
      <c r="E28" s="11" t="s">
        <v>37</v>
      </c>
      <c r="F28" s="11" t="s">
        <v>35</v>
      </c>
      <c r="G28" s="11">
        <v>0</v>
      </c>
    </row>
    <row r="29" spans="1:7" x14ac:dyDescent="0.3">
      <c r="B29" s="11" t="s">
        <v>38</v>
      </c>
      <c r="C29" s="11"/>
      <c r="D29" s="13">
        <v>15999.999999999998</v>
      </c>
      <c r="E29" s="11" t="s">
        <v>39</v>
      </c>
      <c r="F29" s="11" t="s">
        <v>40</v>
      </c>
      <c r="G29" s="11">
        <v>8000.0000000000018</v>
      </c>
    </row>
    <row r="30" spans="1:7" x14ac:dyDescent="0.3">
      <c r="B30" s="11" t="s">
        <v>30</v>
      </c>
      <c r="C30" s="11" t="s">
        <v>2</v>
      </c>
      <c r="D30" s="13">
        <v>2999.9999999999995</v>
      </c>
      <c r="E30" s="11" t="s">
        <v>41</v>
      </c>
      <c r="F30" s="11" t="s">
        <v>40</v>
      </c>
      <c r="G30" s="13">
        <v>2999.9999999999995</v>
      </c>
    </row>
    <row r="31" spans="1:7" ht="15" thickBot="1" x14ac:dyDescent="0.35">
      <c r="B31" s="9" t="s">
        <v>32</v>
      </c>
      <c r="C31" s="9" t="s">
        <v>3</v>
      </c>
      <c r="D31" s="12">
        <v>7000</v>
      </c>
      <c r="E31" s="9" t="s">
        <v>42</v>
      </c>
      <c r="F31" s="9" t="s">
        <v>40</v>
      </c>
      <c r="G31" s="12">
        <v>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workbookViewId="0"/>
  </sheetViews>
  <sheetFormatPr baseColWidth="10" defaultRowHeight="14.4" x14ac:dyDescent="0.3"/>
  <cols>
    <col min="1" max="1" width="2.33203125" customWidth="1"/>
    <col min="2" max="2" width="6.5546875" customWidth="1"/>
    <col min="3" max="3" width="5.109375" customWidth="1"/>
    <col min="4" max="4" width="6.44140625" customWidth="1"/>
    <col min="5" max="5" width="9.44140625" customWidth="1"/>
    <col min="6" max="6" width="10.109375" bestFit="1" customWidth="1"/>
    <col min="7" max="7" width="10.109375" customWidth="1"/>
    <col min="8" max="8" width="12" bestFit="1" customWidth="1"/>
  </cols>
  <sheetData>
    <row r="1" spans="1:8" x14ac:dyDescent="0.3">
      <c r="A1" s="8" t="s">
        <v>43</v>
      </c>
    </row>
    <row r="2" spans="1:8" x14ac:dyDescent="0.3">
      <c r="A2" s="8" t="s">
        <v>7</v>
      </c>
    </row>
    <row r="3" spans="1:8" x14ac:dyDescent="0.3">
      <c r="A3" s="8" t="s">
        <v>44</v>
      </c>
    </row>
    <row r="6" spans="1:8" ht="15" thickBot="1" x14ac:dyDescent="0.35">
      <c r="A6" t="s">
        <v>22</v>
      </c>
    </row>
    <row r="7" spans="1:8" x14ac:dyDescent="0.3">
      <c r="B7" s="14"/>
      <c r="C7" s="14"/>
      <c r="D7" s="14" t="s">
        <v>45</v>
      </c>
      <c r="E7" s="14" t="s">
        <v>46</v>
      </c>
      <c r="F7" s="14" t="s">
        <v>48</v>
      </c>
      <c r="G7" s="14" t="s">
        <v>28</v>
      </c>
      <c r="H7" s="14" t="s">
        <v>28</v>
      </c>
    </row>
    <row r="8" spans="1:8" ht="15" thickBot="1" x14ac:dyDescent="0.35">
      <c r="B8" s="15" t="s">
        <v>18</v>
      </c>
      <c r="C8" s="15" t="s">
        <v>19</v>
      </c>
      <c r="D8" s="15" t="s">
        <v>46</v>
      </c>
      <c r="E8" s="15" t="s">
        <v>47</v>
      </c>
      <c r="F8" s="15" t="s">
        <v>49</v>
      </c>
      <c r="G8" s="15" t="s">
        <v>50</v>
      </c>
      <c r="H8" s="15" t="s">
        <v>51</v>
      </c>
    </row>
    <row r="9" spans="1:8" x14ac:dyDescent="0.3">
      <c r="B9" s="11" t="s">
        <v>30</v>
      </c>
      <c r="C9" s="11" t="s">
        <v>2</v>
      </c>
      <c r="D9" s="11">
        <v>2999.9999999999995</v>
      </c>
      <c r="E9" s="11">
        <v>0</v>
      </c>
      <c r="F9" s="11">
        <v>40000</v>
      </c>
      <c r="G9" s="11">
        <v>40000.000000000007</v>
      </c>
      <c r="H9" s="11">
        <v>13333.333333333336</v>
      </c>
    </row>
    <row r="10" spans="1:8" ht="15" thickBot="1" x14ac:dyDescent="0.35">
      <c r="B10" s="9" t="s">
        <v>32</v>
      </c>
      <c r="C10" s="9" t="s">
        <v>3</v>
      </c>
      <c r="D10" s="9">
        <v>7000</v>
      </c>
      <c r="E10" s="9">
        <v>0</v>
      </c>
      <c r="F10" s="9">
        <v>80000</v>
      </c>
      <c r="G10" s="9">
        <v>40000.000000000007</v>
      </c>
      <c r="H10" s="9">
        <v>40000.000000000007</v>
      </c>
    </row>
    <row r="12" spans="1:8" ht="15" thickBot="1" x14ac:dyDescent="0.35">
      <c r="A12" t="s">
        <v>24</v>
      </c>
    </row>
    <row r="13" spans="1:8" x14ac:dyDescent="0.3">
      <c r="B13" s="14"/>
      <c r="C13" s="14"/>
      <c r="D13" s="14" t="s">
        <v>45</v>
      </c>
      <c r="E13" s="14" t="s">
        <v>46</v>
      </c>
      <c r="F13" s="14" t="s">
        <v>52</v>
      </c>
      <c r="G13" s="14" t="s">
        <v>28</v>
      </c>
      <c r="H13" s="14" t="s">
        <v>28</v>
      </c>
    </row>
    <row r="14" spans="1:8" ht="15" thickBot="1" x14ac:dyDescent="0.35">
      <c r="B14" s="15" t="s">
        <v>18</v>
      </c>
      <c r="C14" s="15" t="s">
        <v>19</v>
      </c>
      <c r="D14" s="15" t="s">
        <v>46</v>
      </c>
      <c r="E14" s="15" t="s">
        <v>47</v>
      </c>
      <c r="F14" s="15" t="s">
        <v>53</v>
      </c>
      <c r="G14" s="15" t="s">
        <v>50</v>
      </c>
      <c r="H14" s="15" t="s">
        <v>51</v>
      </c>
    </row>
    <row r="15" spans="1:8" x14ac:dyDescent="0.3">
      <c r="B15" s="11" t="s">
        <v>33</v>
      </c>
      <c r="C15" s="11"/>
      <c r="D15" s="11">
        <v>10000</v>
      </c>
      <c r="E15" s="11">
        <v>20000</v>
      </c>
      <c r="F15" s="11">
        <v>10000</v>
      </c>
      <c r="G15" s="11">
        <v>2000.0000000000009</v>
      </c>
      <c r="H15" s="11">
        <v>2000</v>
      </c>
    </row>
    <row r="16" spans="1:8" x14ac:dyDescent="0.3">
      <c r="B16" s="11" t="s">
        <v>36</v>
      </c>
      <c r="C16" s="11"/>
      <c r="D16" s="11">
        <v>48000</v>
      </c>
      <c r="E16" s="11">
        <v>10000</v>
      </c>
      <c r="F16" s="11">
        <v>48000</v>
      </c>
      <c r="G16" s="11">
        <v>12000</v>
      </c>
      <c r="H16" s="11">
        <v>16000.000000000007</v>
      </c>
    </row>
    <row r="17" spans="2:8" ht="15" thickBot="1" x14ac:dyDescent="0.35">
      <c r="B17" s="9" t="s">
        <v>38</v>
      </c>
      <c r="C17" s="9"/>
      <c r="D17" s="9">
        <v>15999.999999999998</v>
      </c>
      <c r="E17" s="9">
        <v>0</v>
      </c>
      <c r="F17" s="9">
        <v>24000</v>
      </c>
      <c r="G17" s="9">
        <v>1E+30</v>
      </c>
      <c r="H17" s="9">
        <v>8000.0000000000018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workbookViewId="0">
      <selection activeCell="E13" sqref="E13"/>
    </sheetView>
  </sheetViews>
  <sheetFormatPr baseColWidth="10" defaultRowHeight="14.4" x14ac:dyDescent="0.3"/>
  <cols>
    <col min="1" max="10" width="19.44140625" customWidth="1"/>
  </cols>
  <sheetData>
    <row r="1" spans="1:10" x14ac:dyDescent="0.3">
      <c r="A1" s="8" t="s">
        <v>54</v>
      </c>
    </row>
    <row r="2" spans="1:10" x14ac:dyDescent="0.3">
      <c r="A2" s="8" t="s">
        <v>7</v>
      </c>
    </row>
    <row r="3" spans="1:10" x14ac:dyDescent="0.3">
      <c r="A3" s="8" t="s">
        <v>44</v>
      </c>
    </row>
    <row r="5" spans="1:10" ht="15" thickBot="1" x14ac:dyDescent="0.35"/>
    <row r="6" spans="1:10" x14ac:dyDescent="0.3">
      <c r="B6" s="14"/>
      <c r="C6" s="14" t="s">
        <v>48</v>
      </c>
      <c r="D6" s="14"/>
    </row>
    <row r="7" spans="1:10" ht="15" thickBot="1" x14ac:dyDescent="0.35">
      <c r="B7" s="15" t="s">
        <v>18</v>
      </c>
      <c r="C7" s="15" t="s">
        <v>19</v>
      </c>
      <c r="D7" s="15" t="s">
        <v>46</v>
      </c>
    </row>
    <row r="8" spans="1:10" ht="15" thickBot="1" x14ac:dyDescent="0.35">
      <c r="B8" s="9" t="s">
        <v>29</v>
      </c>
      <c r="C8" s="9"/>
      <c r="D8" s="12">
        <v>680000000</v>
      </c>
    </row>
    <row r="10" spans="1:10" ht="15" thickBot="1" x14ac:dyDescent="0.35"/>
    <row r="11" spans="1:10" x14ac:dyDescent="0.3">
      <c r="B11" s="14"/>
      <c r="C11" s="14" t="s">
        <v>55</v>
      </c>
      <c r="D11" s="14"/>
      <c r="F11" s="14" t="s">
        <v>51</v>
      </c>
      <c r="G11" s="14" t="s">
        <v>48</v>
      </c>
      <c r="I11" s="14" t="s">
        <v>50</v>
      </c>
      <c r="J11" s="14" t="s">
        <v>48</v>
      </c>
    </row>
    <row r="12" spans="1:10" ht="15" thickBot="1" x14ac:dyDescent="0.35">
      <c r="B12" s="15" t="s">
        <v>18</v>
      </c>
      <c r="C12" s="15" t="s">
        <v>19</v>
      </c>
      <c r="D12" s="15" t="s">
        <v>46</v>
      </c>
      <c r="F12" s="15" t="s">
        <v>56</v>
      </c>
      <c r="G12" s="15" t="s">
        <v>57</v>
      </c>
      <c r="I12" s="15" t="s">
        <v>56</v>
      </c>
      <c r="J12" s="15" t="s">
        <v>57</v>
      </c>
    </row>
    <row r="13" spans="1:10" x14ac:dyDescent="0.3">
      <c r="B13" s="11" t="s">
        <v>30</v>
      </c>
      <c r="C13" s="11" t="s">
        <v>2</v>
      </c>
      <c r="D13" s="13">
        <v>2999.9999999999995</v>
      </c>
      <c r="F13" s="13">
        <v>0</v>
      </c>
      <c r="G13" s="13">
        <v>560000000</v>
      </c>
      <c r="I13" s="13">
        <v>3000</v>
      </c>
      <c r="J13" s="13">
        <v>680000000</v>
      </c>
    </row>
    <row r="14" spans="1:10" ht="15" thickBot="1" x14ac:dyDescent="0.35">
      <c r="B14" s="9" t="s">
        <v>32</v>
      </c>
      <c r="C14" s="9" t="s">
        <v>3</v>
      </c>
      <c r="D14" s="12">
        <v>7000</v>
      </c>
      <c r="F14" s="12">
        <v>0</v>
      </c>
      <c r="G14" s="12">
        <v>119999999.99999999</v>
      </c>
      <c r="I14" s="12">
        <v>7000</v>
      </c>
      <c r="J14" s="12">
        <v>680000000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F19"/>
  <sheetViews>
    <sheetView topLeftCell="B3" zoomScale="110" workbookViewId="0">
      <selection activeCell="E14" sqref="E14"/>
    </sheetView>
  </sheetViews>
  <sheetFormatPr baseColWidth="10" defaultRowHeight="14.4" x14ac:dyDescent="0.3"/>
  <cols>
    <col min="3" max="4" width="6.77734375" bestFit="1" customWidth="1"/>
    <col min="5" max="5" width="14" customWidth="1"/>
    <col min="6" max="6" width="7.77734375" bestFit="1" customWidth="1"/>
  </cols>
  <sheetData>
    <row r="5" spans="2:6" ht="18.600000000000001" customHeight="1" x14ac:dyDescent="0.35">
      <c r="B5" s="16" t="s">
        <v>0</v>
      </c>
      <c r="C5" s="16"/>
      <c r="D5" s="16"/>
      <c r="E5" s="16"/>
    </row>
    <row r="6" spans="2:6" ht="18.600000000000001" customHeight="1" x14ac:dyDescent="0.3">
      <c r="C6" s="17" t="s">
        <v>1</v>
      </c>
      <c r="D6" s="17"/>
      <c r="E6" s="17"/>
    </row>
    <row r="7" spans="2:6" ht="18.600000000000001" customHeight="1" x14ac:dyDescent="0.3">
      <c r="C7" s="3" t="s">
        <v>2</v>
      </c>
      <c r="D7" s="3" t="s">
        <v>3</v>
      </c>
    </row>
    <row r="8" spans="2:6" ht="18.600000000000001" customHeight="1" x14ac:dyDescent="0.3">
      <c r="C8" s="6">
        <v>2999.9999999999995</v>
      </c>
      <c r="D8" s="6">
        <v>7000</v>
      </c>
      <c r="E8" s="1"/>
    </row>
    <row r="9" spans="2:6" ht="18.600000000000001" customHeight="1" x14ac:dyDescent="0.3">
      <c r="C9" s="4"/>
      <c r="D9" s="4"/>
      <c r="E9" s="1"/>
    </row>
    <row r="10" spans="2:6" ht="18.600000000000001" customHeight="1" x14ac:dyDescent="0.3">
      <c r="C10" s="18" t="s">
        <v>4</v>
      </c>
      <c r="D10" s="18"/>
      <c r="E10" s="17"/>
    </row>
    <row r="11" spans="2:6" ht="18.600000000000001" customHeight="1" x14ac:dyDescent="0.3">
      <c r="C11" s="2">
        <v>40000</v>
      </c>
      <c r="D11" s="2">
        <v>80000</v>
      </c>
      <c r="E11" s="6">
        <f>(C11*C8)+(D11*D8)</f>
        <v>680000000</v>
      </c>
    </row>
    <row r="12" spans="2:6" ht="18.600000000000001" customHeight="1" x14ac:dyDescent="0.3"/>
    <row r="13" spans="2:6" ht="18.600000000000001" customHeight="1" x14ac:dyDescent="0.3">
      <c r="C13" s="19" t="s">
        <v>5</v>
      </c>
      <c r="D13" s="19"/>
      <c r="E13" s="19"/>
    </row>
    <row r="14" spans="2:6" ht="18.600000000000001" customHeight="1" x14ac:dyDescent="0.3">
      <c r="C14" s="2">
        <v>1</v>
      </c>
      <c r="D14" s="2">
        <v>1</v>
      </c>
      <c r="E14" s="6">
        <f>(C14*C8)+(D14*D8)</f>
        <v>10000</v>
      </c>
      <c r="F14" s="7">
        <v>10000</v>
      </c>
    </row>
    <row r="15" spans="2:6" ht="18.600000000000001" customHeight="1" x14ac:dyDescent="0.3">
      <c r="C15" s="2">
        <v>2</v>
      </c>
      <c r="D15" s="2">
        <v>6</v>
      </c>
      <c r="E15" s="6">
        <f>(C15*C8)+(D15*D8)</f>
        <v>48000</v>
      </c>
      <c r="F15" s="7">
        <v>48000</v>
      </c>
    </row>
    <row r="16" spans="2:6" ht="18.600000000000001" customHeight="1" x14ac:dyDescent="0.3">
      <c r="C16" s="2">
        <v>3</v>
      </c>
      <c r="D16" s="2">
        <v>1</v>
      </c>
      <c r="E16" s="6">
        <f>(C16*C8)+(D16*D8)</f>
        <v>15999.999999999998</v>
      </c>
      <c r="F16" s="7">
        <v>24000</v>
      </c>
    </row>
    <row r="17" spans="3:5" ht="18.600000000000001" customHeight="1" x14ac:dyDescent="0.3"/>
    <row r="18" spans="3:5" ht="18.600000000000001" customHeight="1" x14ac:dyDescent="0.3">
      <c r="C18" s="5"/>
      <c r="D18" s="5"/>
      <c r="E18" s="5"/>
    </row>
    <row r="19" spans="3:5" ht="18.600000000000001" customHeight="1" x14ac:dyDescent="0.3">
      <c r="C19" s="4"/>
      <c r="D19" s="4"/>
      <c r="E19" s="4"/>
    </row>
  </sheetData>
  <mergeCells count="4">
    <mergeCell ref="B5:E5"/>
    <mergeCell ref="C6:E6"/>
    <mergeCell ref="C10:E10"/>
    <mergeCell ref="C13:E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showGridLines="0" workbookViewId="0"/>
  </sheetViews>
  <sheetFormatPr baseColWidth="10" defaultRowHeight="14.4" x14ac:dyDescent="0.3"/>
  <cols>
    <col min="1" max="1" width="2.33203125" customWidth="1"/>
    <col min="2" max="2" width="6.5546875" customWidth="1"/>
    <col min="3" max="3" width="5.109375" customWidth="1"/>
    <col min="4" max="4" width="16.77734375" bestFit="1" customWidth="1"/>
    <col min="5" max="5" width="12.88671875" bestFit="1" customWidth="1"/>
    <col min="6" max="6" width="6.77734375" customWidth="1"/>
    <col min="7" max="7" width="6.44140625" customWidth="1"/>
  </cols>
  <sheetData>
    <row r="1" spans="1:5" x14ac:dyDescent="0.3">
      <c r="A1" s="8" t="s">
        <v>6</v>
      </c>
    </row>
    <row r="2" spans="1:5" x14ac:dyDescent="0.3">
      <c r="A2" s="8" t="s">
        <v>62</v>
      </c>
    </row>
    <row r="3" spans="1:5" x14ac:dyDescent="0.3">
      <c r="A3" s="8" t="s">
        <v>63</v>
      </c>
    </row>
    <row r="4" spans="1:5" x14ac:dyDescent="0.3">
      <c r="A4" s="8" t="s">
        <v>9</v>
      </c>
    </row>
    <row r="5" spans="1:5" x14ac:dyDescent="0.3">
      <c r="A5" s="8" t="s">
        <v>10</v>
      </c>
    </row>
    <row r="6" spans="1:5" x14ac:dyDescent="0.3">
      <c r="A6" s="8"/>
      <c r="B6" t="s">
        <v>11</v>
      </c>
    </row>
    <row r="7" spans="1:5" x14ac:dyDescent="0.3">
      <c r="A7" s="8"/>
      <c r="B7" t="s">
        <v>12</v>
      </c>
    </row>
    <row r="8" spans="1:5" x14ac:dyDescent="0.3">
      <c r="A8" s="8"/>
      <c r="B8" t="s">
        <v>13</v>
      </c>
    </row>
    <row r="9" spans="1:5" x14ac:dyDescent="0.3">
      <c r="A9" s="8" t="s">
        <v>14</v>
      </c>
    </row>
    <row r="10" spans="1:5" x14ac:dyDescent="0.3">
      <c r="B10" t="s">
        <v>64</v>
      </c>
    </row>
    <row r="11" spans="1:5" x14ac:dyDescent="0.3">
      <c r="B11" t="s">
        <v>16</v>
      </c>
    </row>
    <row r="14" spans="1:5" ht="15" thickBot="1" x14ac:dyDescent="0.35">
      <c r="A14" t="s">
        <v>17</v>
      </c>
    </row>
    <row r="15" spans="1:5" ht="15" thickBot="1" x14ac:dyDescent="0.35">
      <c r="B15" s="23" t="s">
        <v>18</v>
      </c>
      <c r="C15" s="23" t="s">
        <v>19</v>
      </c>
      <c r="D15" s="23" t="s">
        <v>20</v>
      </c>
      <c r="E15" s="23" t="s">
        <v>21</v>
      </c>
    </row>
    <row r="16" spans="1:5" ht="15" thickBot="1" x14ac:dyDescent="0.35">
      <c r="B16" s="9" t="s">
        <v>65</v>
      </c>
      <c r="C16" s="9"/>
      <c r="D16" s="24">
        <v>0</v>
      </c>
      <c r="E16" s="24">
        <v>65</v>
      </c>
    </row>
    <row r="19" spans="1:7" ht="15" thickBot="1" x14ac:dyDescent="0.35">
      <c r="A19" t="s">
        <v>22</v>
      </c>
    </row>
    <row r="20" spans="1:7" ht="15" thickBot="1" x14ac:dyDescent="0.35">
      <c r="B20" s="23" t="s">
        <v>18</v>
      </c>
      <c r="C20" s="23" t="s">
        <v>19</v>
      </c>
      <c r="D20" s="23" t="s">
        <v>20</v>
      </c>
      <c r="E20" s="23" t="s">
        <v>21</v>
      </c>
      <c r="F20" s="23" t="s">
        <v>23</v>
      </c>
    </row>
    <row r="21" spans="1:7" x14ac:dyDescent="0.3">
      <c r="B21" s="11" t="s">
        <v>66</v>
      </c>
      <c r="C21" s="11" t="s">
        <v>58</v>
      </c>
      <c r="D21" s="25">
        <v>0</v>
      </c>
      <c r="E21" s="25">
        <v>7.5</v>
      </c>
      <c r="F21" s="11" t="s">
        <v>31</v>
      </c>
    </row>
    <row r="22" spans="1:7" ht="15" thickBot="1" x14ac:dyDescent="0.35">
      <c r="B22" s="9" t="s">
        <v>67</v>
      </c>
      <c r="C22" s="9" t="s">
        <v>59</v>
      </c>
      <c r="D22" s="24">
        <v>0</v>
      </c>
      <c r="E22" s="24">
        <v>5</v>
      </c>
      <c r="F22" s="9" t="s">
        <v>31</v>
      </c>
    </row>
    <row r="25" spans="1:7" ht="15" thickBot="1" x14ac:dyDescent="0.35">
      <c r="A25" t="s">
        <v>24</v>
      </c>
    </row>
    <row r="26" spans="1:7" ht="15" thickBot="1" x14ac:dyDescent="0.35">
      <c r="B26" s="23" t="s">
        <v>18</v>
      </c>
      <c r="C26" s="23" t="s">
        <v>19</v>
      </c>
      <c r="D26" s="23" t="s">
        <v>25</v>
      </c>
      <c r="E26" s="23" t="s">
        <v>26</v>
      </c>
      <c r="F26" s="23" t="s">
        <v>27</v>
      </c>
      <c r="G26" s="23" t="s">
        <v>28</v>
      </c>
    </row>
    <row r="27" spans="1:7" x14ac:dyDescent="0.3">
      <c r="B27" s="11" t="s">
        <v>68</v>
      </c>
      <c r="C27" s="11"/>
      <c r="D27" s="25">
        <v>67.5</v>
      </c>
      <c r="E27" s="11" t="s">
        <v>69</v>
      </c>
      <c r="F27" s="11" t="s">
        <v>40</v>
      </c>
      <c r="G27" s="11">
        <v>13.5</v>
      </c>
    </row>
    <row r="28" spans="1:7" x14ac:dyDescent="0.3">
      <c r="B28" s="11" t="s">
        <v>70</v>
      </c>
      <c r="C28" s="11"/>
      <c r="D28" s="25">
        <v>55</v>
      </c>
      <c r="E28" s="11" t="s">
        <v>71</v>
      </c>
      <c r="F28" s="11" t="s">
        <v>35</v>
      </c>
      <c r="G28" s="11">
        <v>0</v>
      </c>
    </row>
    <row r="29" spans="1:7" x14ac:dyDescent="0.3">
      <c r="B29" s="11" t="s">
        <v>33</v>
      </c>
      <c r="C29" s="11"/>
      <c r="D29" s="25">
        <v>20</v>
      </c>
      <c r="E29" s="11" t="s">
        <v>34</v>
      </c>
      <c r="F29" s="11" t="s">
        <v>35</v>
      </c>
      <c r="G29" s="11">
        <v>0</v>
      </c>
    </row>
    <row r="30" spans="1:7" x14ac:dyDescent="0.3">
      <c r="B30" s="11" t="s">
        <v>66</v>
      </c>
      <c r="C30" s="11" t="s">
        <v>58</v>
      </c>
      <c r="D30" s="25">
        <v>7.5</v>
      </c>
      <c r="E30" s="11" t="s">
        <v>72</v>
      </c>
      <c r="F30" s="11" t="s">
        <v>40</v>
      </c>
      <c r="G30" s="25">
        <v>7.5</v>
      </c>
    </row>
    <row r="31" spans="1:7" ht="15" thickBot="1" x14ac:dyDescent="0.35">
      <c r="B31" s="9" t="s">
        <v>67</v>
      </c>
      <c r="C31" s="9" t="s">
        <v>59</v>
      </c>
      <c r="D31" s="24">
        <v>5</v>
      </c>
      <c r="E31" s="9" t="s">
        <v>73</v>
      </c>
      <c r="F31" s="9" t="s">
        <v>40</v>
      </c>
      <c r="G31" s="2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workbookViewId="0"/>
  </sheetViews>
  <sheetFormatPr baseColWidth="10" defaultRowHeight="14.4" x14ac:dyDescent="0.3"/>
  <cols>
    <col min="1" max="1" width="2.33203125" customWidth="1"/>
    <col min="2" max="2" width="6.5546875" customWidth="1"/>
    <col min="3" max="3" width="5.109375" customWidth="1"/>
    <col min="4" max="4" width="6.44140625" customWidth="1"/>
    <col min="5" max="5" width="12" bestFit="1" customWidth="1"/>
    <col min="6" max="6" width="10.109375" bestFit="1" customWidth="1"/>
    <col min="7" max="7" width="10.109375" customWidth="1"/>
    <col min="8" max="8" width="12" bestFit="1" customWidth="1"/>
  </cols>
  <sheetData>
    <row r="1" spans="1:8" x14ac:dyDescent="0.3">
      <c r="A1" s="8" t="s">
        <v>43</v>
      </c>
    </row>
    <row r="2" spans="1:8" x14ac:dyDescent="0.3">
      <c r="A2" s="8" t="s">
        <v>62</v>
      </c>
    </row>
    <row r="3" spans="1:8" x14ac:dyDescent="0.3">
      <c r="A3" s="8" t="s">
        <v>74</v>
      </c>
    </row>
    <row r="6" spans="1:8" ht="15" thickBot="1" x14ac:dyDescent="0.35">
      <c r="A6" t="s">
        <v>22</v>
      </c>
    </row>
    <row r="7" spans="1:8" x14ac:dyDescent="0.3">
      <c r="B7" s="26"/>
      <c r="C7" s="26"/>
      <c r="D7" s="26" t="s">
        <v>45</v>
      </c>
      <c r="E7" s="26" t="s">
        <v>46</v>
      </c>
      <c r="F7" s="26" t="s">
        <v>48</v>
      </c>
      <c r="G7" s="26" t="s">
        <v>28</v>
      </c>
      <c r="H7" s="26" t="s">
        <v>28</v>
      </c>
    </row>
    <row r="8" spans="1:8" ht="15" thickBot="1" x14ac:dyDescent="0.35">
      <c r="B8" s="27" t="s">
        <v>18</v>
      </c>
      <c r="C8" s="27" t="s">
        <v>19</v>
      </c>
      <c r="D8" s="27" t="s">
        <v>46</v>
      </c>
      <c r="E8" s="27" t="s">
        <v>47</v>
      </c>
      <c r="F8" s="27" t="s">
        <v>49</v>
      </c>
      <c r="G8" s="27" t="s">
        <v>50</v>
      </c>
      <c r="H8" s="27" t="s">
        <v>51</v>
      </c>
    </row>
    <row r="9" spans="1:8" x14ac:dyDescent="0.3">
      <c r="B9" s="11" t="s">
        <v>66</v>
      </c>
      <c r="C9" s="11" t="s">
        <v>58</v>
      </c>
      <c r="D9" s="11">
        <v>7.5</v>
      </c>
      <c r="E9" s="11">
        <v>0</v>
      </c>
      <c r="F9" s="11">
        <v>6</v>
      </c>
      <c r="G9" s="11">
        <v>2</v>
      </c>
      <c r="H9" s="11">
        <v>2.8000000000000003</v>
      </c>
    </row>
    <row r="10" spans="1:8" ht="15" thickBot="1" x14ac:dyDescent="0.35">
      <c r="B10" s="9" t="s">
        <v>67</v>
      </c>
      <c r="C10" s="9" t="s">
        <v>59</v>
      </c>
      <c r="D10" s="9">
        <v>5</v>
      </c>
      <c r="E10" s="9">
        <v>0</v>
      </c>
      <c r="F10" s="9">
        <v>4</v>
      </c>
      <c r="G10" s="9">
        <v>3.5000000000000004</v>
      </c>
      <c r="H10" s="9">
        <v>1</v>
      </c>
    </row>
    <row r="12" spans="1:8" ht="15" thickBot="1" x14ac:dyDescent="0.35">
      <c r="A12" t="s">
        <v>24</v>
      </c>
    </row>
    <row r="13" spans="1:8" x14ac:dyDescent="0.3">
      <c r="B13" s="26"/>
      <c r="C13" s="26"/>
      <c r="D13" s="26" t="s">
        <v>45</v>
      </c>
      <c r="E13" s="26" t="s">
        <v>46</v>
      </c>
      <c r="F13" s="26" t="s">
        <v>52</v>
      </c>
      <c r="G13" s="26" t="s">
        <v>28</v>
      </c>
      <c r="H13" s="26" t="s">
        <v>28</v>
      </c>
    </row>
    <row r="14" spans="1:8" ht="15" thickBot="1" x14ac:dyDescent="0.35">
      <c r="B14" s="27" t="s">
        <v>18</v>
      </c>
      <c r="C14" s="27" t="s">
        <v>19</v>
      </c>
      <c r="D14" s="27" t="s">
        <v>46</v>
      </c>
      <c r="E14" s="27" t="s">
        <v>47</v>
      </c>
      <c r="F14" s="27" t="s">
        <v>53</v>
      </c>
      <c r="G14" s="27" t="s">
        <v>50</v>
      </c>
      <c r="H14" s="27" t="s">
        <v>51</v>
      </c>
    </row>
    <row r="15" spans="1:8" x14ac:dyDescent="0.3">
      <c r="B15" s="11" t="s">
        <v>68</v>
      </c>
      <c r="C15" s="11"/>
      <c r="D15" s="11">
        <v>67.5</v>
      </c>
      <c r="E15" s="11">
        <v>0</v>
      </c>
      <c r="F15" s="11">
        <v>81</v>
      </c>
      <c r="G15" s="11">
        <v>1E+30</v>
      </c>
      <c r="H15" s="11">
        <v>13.5</v>
      </c>
    </row>
    <row r="16" spans="1:8" x14ac:dyDescent="0.3">
      <c r="B16" s="11" t="s">
        <v>70</v>
      </c>
      <c r="C16" s="11"/>
      <c r="D16" s="11">
        <v>55</v>
      </c>
      <c r="E16" s="11">
        <v>0.33333333333333331</v>
      </c>
      <c r="F16" s="11">
        <v>55</v>
      </c>
      <c r="G16" s="11">
        <v>5.4</v>
      </c>
      <c r="H16" s="11">
        <v>15</v>
      </c>
    </row>
    <row r="17" spans="2:8" ht="15" thickBot="1" x14ac:dyDescent="0.35">
      <c r="B17" s="9" t="s">
        <v>33</v>
      </c>
      <c r="C17" s="9"/>
      <c r="D17" s="9">
        <v>20</v>
      </c>
      <c r="E17" s="9">
        <v>2.3333333333333335</v>
      </c>
      <c r="F17" s="9">
        <v>20</v>
      </c>
      <c r="G17" s="9">
        <v>7.5</v>
      </c>
      <c r="H17" s="9">
        <v>3.8571428571428572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workbookViewId="0">
      <selection sqref="A1:A3"/>
    </sheetView>
  </sheetViews>
  <sheetFormatPr baseColWidth="10" defaultRowHeight="14.4" x14ac:dyDescent="0.3"/>
  <cols>
    <col min="1" max="1" width="2.33203125" customWidth="1"/>
    <col min="2" max="2" width="6.5546875" customWidth="1"/>
    <col min="3" max="3" width="7.88671875" customWidth="1"/>
    <col min="4" max="4" width="6.44140625" customWidth="1"/>
    <col min="5" max="5" width="2.33203125" customWidth="1"/>
    <col min="6" max="6" width="9.21875" customWidth="1"/>
    <col min="7" max="7" width="7.77734375" customWidth="1"/>
    <col min="8" max="8" width="2.33203125" customWidth="1"/>
    <col min="9" max="9" width="10.109375" customWidth="1"/>
    <col min="10" max="10" width="7.77734375" customWidth="1"/>
  </cols>
  <sheetData>
    <row r="1" spans="1:10" x14ac:dyDescent="0.3">
      <c r="A1" s="8" t="s">
        <v>54</v>
      </c>
    </row>
    <row r="2" spans="1:10" x14ac:dyDescent="0.3">
      <c r="A2" s="8" t="s">
        <v>62</v>
      </c>
    </row>
    <row r="3" spans="1:10" x14ac:dyDescent="0.3">
      <c r="A3" s="8" t="s">
        <v>74</v>
      </c>
    </row>
    <row r="5" spans="1:10" ht="15" thickBot="1" x14ac:dyDescent="0.35"/>
    <row r="6" spans="1:10" x14ac:dyDescent="0.3">
      <c r="B6" s="26"/>
      <c r="C6" s="26" t="s">
        <v>48</v>
      </c>
      <c r="D6" s="26"/>
    </row>
    <row r="7" spans="1:10" ht="15" thickBot="1" x14ac:dyDescent="0.35">
      <c r="B7" s="27" t="s">
        <v>18</v>
      </c>
      <c r="C7" s="27" t="s">
        <v>19</v>
      </c>
      <c r="D7" s="27" t="s">
        <v>46</v>
      </c>
    </row>
    <row r="8" spans="1:10" ht="15" thickBot="1" x14ac:dyDescent="0.35">
      <c r="B8" s="9" t="s">
        <v>65</v>
      </c>
      <c r="C8" s="9"/>
      <c r="D8" s="24">
        <v>65</v>
      </c>
    </row>
    <row r="10" spans="1:10" ht="15" thickBot="1" x14ac:dyDescent="0.35"/>
    <row r="11" spans="1:10" x14ac:dyDescent="0.3">
      <c r="B11" s="26"/>
      <c r="C11" s="26" t="s">
        <v>55</v>
      </c>
      <c r="D11" s="26"/>
      <c r="F11" s="26" t="s">
        <v>51</v>
      </c>
      <c r="G11" s="26" t="s">
        <v>48</v>
      </c>
      <c r="I11" s="26" t="s">
        <v>50</v>
      </c>
      <c r="J11" s="26" t="s">
        <v>48</v>
      </c>
    </row>
    <row r="12" spans="1:10" ht="15" thickBot="1" x14ac:dyDescent="0.35">
      <c r="B12" s="27" t="s">
        <v>18</v>
      </c>
      <c r="C12" s="27" t="s">
        <v>19</v>
      </c>
      <c r="D12" s="27" t="s">
        <v>46</v>
      </c>
      <c r="F12" s="27" t="s">
        <v>56</v>
      </c>
      <c r="G12" s="27" t="s">
        <v>57</v>
      </c>
      <c r="I12" s="27" t="s">
        <v>56</v>
      </c>
      <c r="J12" s="27" t="s">
        <v>57</v>
      </c>
    </row>
    <row r="13" spans="1:10" x14ac:dyDescent="0.3">
      <c r="B13" s="11" t="s">
        <v>66</v>
      </c>
      <c r="C13" s="11" t="s">
        <v>58</v>
      </c>
      <c r="D13" s="25">
        <v>7.5</v>
      </c>
      <c r="F13" s="25">
        <v>0</v>
      </c>
      <c r="G13" s="25">
        <v>20</v>
      </c>
      <c r="I13" s="25">
        <v>7.5</v>
      </c>
      <c r="J13" s="25">
        <v>65</v>
      </c>
    </row>
    <row r="14" spans="1:10" ht="15" thickBot="1" x14ac:dyDescent="0.35">
      <c r="B14" s="9" t="s">
        <v>67</v>
      </c>
      <c r="C14" s="9" t="s">
        <v>59</v>
      </c>
      <c r="D14" s="24">
        <v>5</v>
      </c>
      <c r="F14" s="24">
        <v>0</v>
      </c>
      <c r="G14" s="24">
        <v>45</v>
      </c>
      <c r="I14" s="24">
        <v>5</v>
      </c>
      <c r="J14" s="24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4"/>
  <sheetViews>
    <sheetView zoomScale="90" workbookViewId="0">
      <selection activeCell="C6" sqref="C6"/>
    </sheetView>
  </sheetViews>
  <sheetFormatPr baseColWidth="10" defaultRowHeight="14.4" x14ac:dyDescent="0.3"/>
  <cols>
    <col min="3" max="3" width="7.33203125" customWidth="1"/>
    <col min="4" max="4" width="7.6640625" customWidth="1"/>
    <col min="6" max="6" width="7.33203125" customWidth="1"/>
  </cols>
  <sheetData>
    <row r="3" spans="2:6" ht="14.4" customHeight="1" x14ac:dyDescent="0.35">
      <c r="B3" s="16" t="s">
        <v>0</v>
      </c>
      <c r="C3" s="16"/>
      <c r="D3" s="16"/>
      <c r="E3" s="16"/>
    </row>
    <row r="4" spans="2:6" ht="14.4" customHeight="1" x14ac:dyDescent="0.3">
      <c r="C4" s="17" t="s">
        <v>1</v>
      </c>
      <c r="D4" s="17"/>
      <c r="E4" s="17"/>
    </row>
    <row r="5" spans="2:6" ht="14.4" customHeight="1" x14ac:dyDescent="0.3">
      <c r="C5" s="2" t="s">
        <v>58</v>
      </c>
      <c r="D5" s="2" t="s">
        <v>59</v>
      </c>
    </row>
    <row r="6" spans="2:6" ht="14.4" customHeight="1" x14ac:dyDescent="0.3">
      <c r="C6" s="20">
        <v>7.5</v>
      </c>
      <c r="D6" s="20">
        <v>5</v>
      </c>
    </row>
    <row r="7" spans="2:6" ht="14.4" customHeight="1" x14ac:dyDescent="0.3"/>
    <row r="8" spans="2:6" ht="14.4" customHeight="1" x14ac:dyDescent="0.3">
      <c r="C8" s="17" t="s">
        <v>60</v>
      </c>
      <c r="D8" s="17"/>
      <c r="E8" s="17"/>
    </row>
    <row r="9" spans="2:6" ht="14.4" customHeight="1" x14ac:dyDescent="0.3">
      <c r="C9" s="22">
        <v>6</v>
      </c>
      <c r="D9" s="22">
        <v>4</v>
      </c>
      <c r="E9" s="21">
        <f>(C9*C6)+(D9*D6)</f>
        <v>65</v>
      </c>
    </row>
    <row r="10" spans="2:6" ht="14.4" customHeight="1" x14ac:dyDescent="0.3">
      <c r="C10" s="4"/>
      <c r="D10" s="4"/>
    </row>
    <row r="11" spans="2:6" ht="14.4" customHeight="1" x14ac:dyDescent="0.3">
      <c r="C11" s="19" t="s">
        <v>61</v>
      </c>
      <c r="D11" s="19"/>
      <c r="E11" s="19"/>
    </row>
    <row r="12" spans="2:6" ht="14.4" customHeight="1" x14ac:dyDescent="0.3">
      <c r="C12" s="2">
        <v>3</v>
      </c>
      <c r="D12" s="2">
        <v>9</v>
      </c>
      <c r="E12" s="20">
        <f>(C12*C6)+(D12*D6)</f>
        <v>67.5</v>
      </c>
      <c r="F12" s="2">
        <v>81</v>
      </c>
    </row>
    <row r="13" spans="2:6" ht="14.4" customHeight="1" x14ac:dyDescent="0.3">
      <c r="C13" s="2">
        <v>4</v>
      </c>
      <c r="D13" s="2">
        <v>5</v>
      </c>
      <c r="E13" s="20">
        <f>(C13*C6)+(D13*D6)</f>
        <v>55</v>
      </c>
      <c r="F13" s="2">
        <v>55</v>
      </c>
    </row>
    <row r="14" spans="2:6" ht="14.4" customHeight="1" x14ac:dyDescent="0.3">
      <c r="C14" s="2">
        <v>2</v>
      </c>
      <c r="D14" s="2">
        <v>1</v>
      </c>
      <c r="E14" s="20">
        <f>(C14*C6)+(D14*D6)</f>
        <v>20</v>
      </c>
      <c r="F14" s="2">
        <v>20</v>
      </c>
    </row>
  </sheetData>
  <mergeCells count="4">
    <mergeCell ref="B3:E3"/>
    <mergeCell ref="C4:E4"/>
    <mergeCell ref="C8:E8"/>
    <mergeCell ref="C11:E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showGridLines="0" tabSelected="1" topLeftCell="A2" workbookViewId="0">
      <selection activeCell="K17" sqref="K17"/>
    </sheetView>
  </sheetViews>
  <sheetFormatPr baseColWidth="10" defaultRowHeight="14.4" x14ac:dyDescent="0.3"/>
  <cols>
    <col min="1" max="3" width="12.33203125" customWidth="1"/>
    <col min="4" max="4" width="19.109375" customWidth="1"/>
    <col min="5" max="5" width="17.6640625" customWidth="1"/>
    <col min="6" max="7" width="12.33203125" customWidth="1"/>
  </cols>
  <sheetData>
    <row r="1" spans="1:5" x14ac:dyDescent="0.3">
      <c r="A1" s="8" t="s">
        <v>6</v>
      </c>
    </row>
    <row r="2" spans="1:5" x14ac:dyDescent="0.3">
      <c r="A2" s="8" t="s">
        <v>76</v>
      </c>
    </row>
    <row r="3" spans="1:5" x14ac:dyDescent="0.3">
      <c r="A3" s="8" t="s">
        <v>77</v>
      </c>
    </row>
    <row r="4" spans="1:5" x14ac:dyDescent="0.3">
      <c r="A4" s="8" t="s">
        <v>9</v>
      </c>
    </row>
    <row r="5" spans="1:5" x14ac:dyDescent="0.3">
      <c r="A5" s="8" t="s">
        <v>10</v>
      </c>
    </row>
    <row r="6" spans="1:5" x14ac:dyDescent="0.3">
      <c r="A6" s="8"/>
      <c r="B6" t="s">
        <v>11</v>
      </c>
    </row>
    <row r="7" spans="1:5" x14ac:dyDescent="0.3">
      <c r="A7" s="8"/>
      <c r="B7" t="s">
        <v>78</v>
      </c>
    </row>
    <row r="8" spans="1:5" x14ac:dyDescent="0.3">
      <c r="A8" s="8"/>
      <c r="B8" t="s">
        <v>79</v>
      </c>
    </row>
    <row r="9" spans="1:5" x14ac:dyDescent="0.3">
      <c r="A9" s="8" t="s">
        <v>14</v>
      </c>
    </row>
    <row r="10" spans="1:5" x14ac:dyDescent="0.3">
      <c r="B10" t="s">
        <v>64</v>
      </c>
    </row>
    <row r="11" spans="1:5" x14ac:dyDescent="0.3">
      <c r="B11" t="s">
        <v>16</v>
      </c>
    </row>
    <row r="14" spans="1:5" ht="15" thickBot="1" x14ac:dyDescent="0.35">
      <c r="A14" t="s">
        <v>80</v>
      </c>
    </row>
    <row r="15" spans="1:5" ht="15" thickBot="1" x14ac:dyDescent="0.35">
      <c r="B15" s="23" t="s">
        <v>18</v>
      </c>
      <c r="C15" s="23" t="s">
        <v>19</v>
      </c>
      <c r="D15" s="23" t="s">
        <v>20</v>
      </c>
      <c r="E15" s="23" t="s">
        <v>21</v>
      </c>
    </row>
    <row r="16" spans="1:5" ht="15" thickBot="1" x14ac:dyDescent="0.35">
      <c r="B16" s="9" t="s">
        <v>81</v>
      </c>
      <c r="C16" s="9"/>
      <c r="D16" s="24">
        <v>0</v>
      </c>
      <c r="E16" s="24">
        <v>22150</v>
      </c>
    </row>
    <row r="19" spans="1:7" ht="15" thickBot="1" x14ac:dyDescent="0.35">
      <c r="A19" t="s">
        <v>22</v>
      </c>
    </row>
    <row r="20" spans="1:7" ht="15" thickBot="1" x14ac:dyDescent="0.35">
      <c r="B20" s="23" t="s">
        <v>18</v>
      </c>
      <c r="C20" s="23" t="s">
        <v>19</v>
      </c>
      <c r="D20" s="23" t="s">
        <v>20</v>
      </c>
      <c r="E20" s="23" t="s">
        <v>21</v>
      </c>
      <c r="F20" s="23" t="s">
        <v>23</v>
      </c>
    </row>
    <row r="21" spans="1:7" x14ac:dyDescent="0.3">
      <c r="B21" s="11" t="s">
        <v>32</v>
      </c>
      <c r="C21" s="11" t="s">
        <v>58</v>
      </c>
      <c r="D21" s="25">
        <v>0</v>
      </c>
      <c r="E21" s="25">
        <v>125</v>
      </c>
      <c r="F21" s="11" t="s">
        <v>31</v>
      </c>
    </row>
    <row r="22" spans="1:7" ht="15" thickBot="1" x14ac:dyDescent="0.35">
      <c r="B22" s="9" t="s">
        <v>82</v>
      </c>
      <c r="C22" s="9" t="s">
        <v>59</v>
      </c>
      <c r="D22" s="24">
        <v>0</v>
      </c>
      <c r="E22" s="24">
        <v>20</v>
      </c>
      <c r="F22" s="9" t="s">
        <v>31</v>
      </c>
    </row>
    <row r="25" spans="1:7" ht="15" thickBot="1" x14ac:dyDescent="0.35">
      <c r="A25" t="s">
        <v>24</v>
      </c>
    </row>
    <row r="26" spans="1:7" ht="15" thickBot="1" x14ac:dyDescent="0.35">
      <c r="B26" s="23" t="s">
        <v>18</v>
      </c>
      <c r="C26" s="23" t="s">
        <v>19</v>
      </c>
      <c r="D26" s="23" t="s">
        <v>25</v>
      </c>
      <c r="E26" s="23" t="s">
        <v>26</v>
      </c>
      <c r="F26" s="23" t="s">
        <v>27</v>
      </c>
      <c r="G26" s="23" t="s">
        <v>28</v>
      </c>
    </row>
    <row r="27" spans="1:7" x14ac:dyDescent="0.3">
      <c r="B27" s="11" t="s">
        <v>83</v>
      </c>
      <c r="C27" s="11"/>
      <c r="D27" s="28">
        <v>10800</v>
      </c>
      <c r="E27" s="11" t="s">
        <v>84</v>
      </c>
      <c r="F27" s="11" t="s">
        <v>40</v>
      </c>
      <c r="G27" s="25">
        <v>7800</v>
      </c>
    </row>
    <row r="28" spans="1:7" x14ac:dyDescent="0.3">
      <c r="B28" s="11" t="s">
        <v>85</v>
      </c>
      <c r="C28" s="11"/>
      <c r="D28" s="28">
        <v>1000</v>
      </c>
      <c r="E28" s="11" t="s">
        <v>86</v>
      </c>
      <c r="F28" s="11" t="s">
        <v>35</v>
      </c>
      <c r="G28" s="25">
        <v>0</v>
      </c>
    </row>
    <row r="29" spans="1:7" x14ac:dyDescent="0.3">
      <c r="B29" s="11" t="s">
        <v>87</v>
      </c>
      <c r="C29" s="11"/>
      <c r="D29" s="28">
        <v>800</v>
      </c>
      <c r="E29" s="11" t="s">
        <v>88</v>
      </c>
      <c r="F29" s="11" t="s">
        <v>35</v>
      </c>
      <c r="G29" s="25">
        <v>0</v>
      </c>
    </row>
    <row r="30" spans="1:7" x14ac:dyDescent="0.3">
      <c r="B30" s="11" t="s">
        <v>32</v>
      </c>
      <c r="C30" s="11" t="s">
        <v>58</v>
      </c>
      <c r="D30" s="28">
        <v>125</v>
      </c>
      <c r="E30" s="11" t="s">
        <v>42</v>
      </c>
      <c r="F30" s="11" t="s">
        <v>40</v>
      </c>
      <c r="G30" s="25">
        <v>125</v>
      </c>
    </row>
    <row r="31" spans="1:7" ht="15" thickBot="1" x14ac:dyDescent="0.35">
      <c r="B31" s="9" t="s">
        <v>82</v>
      </c>
      <c r="C31" s="9" t="s">
        <v>59</v>
      </c>
      <c r="D31" s="29">
        <v>20</v>
      </c>
      <c r="E31" s="9" t="s">
        <v>89</v>
      </c>
      <c r="F31" s="9" t="s">
        <v>40</v>
      </c>
      <c r="G31" s="24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workbookViewId="0">
      <selection activeCell="G9" sqref="G9"/>
    </sheetView>
  </sheetViews>
  <sheetFormatPr baseColWidth="10" defaultRowHeight="14.4" x14ac:dyDescent="0.3"/>
  <cols>
    <col min="1" max="8" width="15.88671875" customWidth="1"/>
  </cols>
  <sheetData>
    <row r="1" spans="1:8" x14ac:dyDescent="0.3">
      <c r="A1" s="8" t="s">
        <v>43</v>
      </c>
    </row>
    <row r="2" spans="1:8" x14ac:dyDescent="0.3">
      <c r="A2" s="8" t="s">
        <v>76</v>
      </c>
    </row>
    <row r="3" spans="1:8" x14ac:dyDescent="0.3">
      <c r="A3" s="8" t="s">
        <v>90</v>
      </c>
    </row>
    <row r="6" spans="1:8" ht="15" thickBot="1" x14ac:dyDescent="0.35">
      <c r="A6" t="s">
        <v>22</v>
      </c>
    </row>
    <row r="7" spans="1:8" x14ac:dyDescent="0.3">
      <c r="B7" s="26"/>
      <c r="C7" s="26"/>
      <c r="D7" s="26" t="s">
        <v>45</v>
      </c>
      <c r="E7" s="26" t="s">
        <v>46</v>
      </c>
      <c r="F7" s="26" t="s">
        <v>48</v>
      </c>
      <c r="G7" s="26" t="s">
        <v>28</v>
      </c>
      <c r="H7" s="26" t="s">
        <v>28</v>
      </c>
    </row>
    <row r="8" spans="1:8" ht="15" thickBot="1" x14ac:dyDescent="0.35">
      <c r="B8" s="27" t="s">
        <v>18</v>
      </c>
      <c r="C8" s="27" t="s">
        <v>19</v>
      </c>
      <c r="D8" s="27" t="s">
        <v>46</v>
      </c>
      <c r="E8" s="27" t="s">
        <v>47</v>
      </c>
      <c r="F8" s="27" t="s">
        <v>49</v>
      </c>
      <c r="G8" s="27" t="s">
        <v>50</v>
      </c>
      <c r="H8" s="27" t="s">
        <v>51</v>
      </c>
    </row>
    <row r="9" spans="1:8" x14ac:dyDescent="0.3">
      <c r="B9" s="11" t="s">
        <v>32</v>
      </c>
      <c r="C9" s="11" t="s">
        <v>58</v>
      </c>
      <c r="D9" s="11">
        <v>125</v>
      </c>
      <c r="E9" s="11">
        <v>0</v>
      </c>
      <c r="F9" s="11">
        <v>150</v>
      </c>
      <c r="G9" s="11">
        <v>1E+30</v>
      </c>
      <c r="H9" s="11">
        <v>150</v>
      </c>
    </row>
    <row r="10" spans="1:8" ht="15" thickBot="1" x14ac:dyDescent="0.35">
      <c r="B10" s="9" t="s">
        <v>82</v>
      </c>
      <c r="C10" s="9" t="s">
        <v>59</v>
      </c>
      <c r="D10" s="9">
        <v>20</v>
      </c>
      <c r="E10" s="9">
        <v>0</v>
      </c>
      <c r="F10" s="9">
        <v>170</v>
      </c>
      <c r="G10" s="9">
        <v>1E+30</v>
      </c>
      <c r="H10" s="9">
        <v>170</v>
      </c>
    </row>
    <row r="12" spans="1:8" ht="15" thickBot="1" x14ac:dyDescent="0.35">
      <c r="A12" t="s">
        <v>24</v>
      </c>
    </row>
    <row r="13" spans="1:8" x14ac:dyDescent="0.3">
      <c r="B13" s="26"/>
      <c r="C13" s="26"/>
      <c r="D13" s="26" t="s">
        <v>45</v>
      </c>
      <c r="E13" s="26" t="s">
        <v>46</v>
      </c>
      <c r="F13" s="26" t="s">
        <v>52</v>
      </c>
      <c r="G13" s="26" t="s">
        <v>28</v>
      </c>
      <c r="H13" s="26" t="s">
        <v>28</v>
      </c>
    </row>
    <row r="14" spans="1:8" ht="15" thickBot="1" x14ac:dyDescent="0.35">
      <c r="B14" s="27" t="s">
        <v>18</v>
      </c>
      <c r="C14" s="27" t="s">
        <v>19</v>
      </c>
      <c r="D14" s="27" t="s">
        <v>46</v>
      </c>
      <c r="E14" s="27" t="s">
        <v>47</v>
      </c>
      <c r="F14" s="27" t="s">
        <v>53</v>
      </c>
      <c r="G14" s="27" t="s">
        <v>50</v>
      </c>
      <c r="H14" s="27" t="s">
        <v>51</v>
      </c>
    </row>
    <row r="15" spans="1:8" x14ac:dyDescent="0.3">
      <c r="B15" s="11" t="s">
        <v>83</v>
      </c>
      <c r="C15" s="11"/>
      <c r="D15" s="11">
        <v>10800</v>
      </c>
      <c r="E15" s="11">
        <v>0</v>
      </c>
      <c r="F15" s="11">
        <v>3000</v>
      </c>
      <c r="G15" s="11">
        <v>7800</v>
      </c>
      <c r="H15" s="11">
        <v>1E+30</v>
      </c>
    </row>
    <row r="16" spans="1:8" x14ac:dyDescent="0.3">
      <c r="B16" s="11" t="s">
        <v>85</v>
      </c>
      <c r="C16" s="11"/>
      <c r="D16" s="11">
        <v>1000</v>
      </c>
      <c r="E16" s="11">
        <v>18.75</v>
      </c>
      <c r="F16" s="11">
        <v>1000</v>
      </c>
      <c r="G16" s="11">
        <v>1E+30</v>
      </c>
      <c r="H16" s="11">
        <v>780</v>
      </c>
    </row>
    <row r="17" spans="2:8" ht="15" thickBot="1" x14ac:dyDescent="0.35">
      <c r="B17" s="9" t="s">
        <v>87</v>
      </c>
      <c r="C17" s="9"/>
      <c r="D17" s="9">
        <v>800</v>
      </c>
      <c r="E17" s="9">
        <v>4.25</v>
      </c>
      <c r="F17" s="9">
        <v>800</v>
      </c>
      <c r="G17" s="9">
        <v>1E+30</v>
      </c>
      <c r="H17" s="9">
        <v>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topLeftCell="A4" workbookViewId="0">
      <selection activeCell="I13" sqref="I13"/>
    </sheetView>
  </sheetViews>
  <sheetFormatPr baseColWidth="10" defaultRowHeight="14.4" x14ac:dyDescent="0.3"/>
  <cols>
    <col min="1" max="10" width="18" customWidth="1"/>
  </cols>
  <sheetData>
    <row r="1" spans="1:10" x14ac:dyDescent="0.3">
      <c r="A1" s="8" t="s">
        <v>54</v>
      </c>
    </row>
    <row r="2" spans="1:10" x14ac:dyDescent="0.3">
      <c r="A2" s="8" t="s">
        <v>76</v>
      </c>
    </row>
    <row r="3" spans="1:10" x14ac:dyDescent="0.3">
      <c r="A3" s="8" t="s">
        <v>90</v>
      </c>
    </row>
    <row r="5" spans="1:10" ht="15" thickBot="1" x14ac:dyDescent="0.35"/>
    <row r="6" spans="1:10" x14ac:dyDescent="0.3">
      <c r="B6" s="26"/>
      <c r="C6" s="26" t="s">
        <v>48</v>
      </c>
      <c r="D6" s="26"/>
    </row>
    <row r="7" spans="1:10" ht="15" thickBot="1" x14ac:dyDescent="0.35">
      <c r="B7" s="27" t="s">
        <v>18</v>
      </c>
      <c r="C7" s="27" t="s">
        <v>19</v>
      </c>
      <c r="D7" s="27" t="s">
        <v>46</v>
      </c>
    </row>
    <row r="8" spans="1:10" ht="15" thickBot="1" x14ac:dyDescent="0.35">
      <c r="B8" s="9" t="s">
        <v>81</v>
      </c>
      <c r="C8" s="9"/>
      <c r="D8" s="24">
        <v>22150</v>
      </c>
    </row>
    <row r="10" spans="1:10" ht="15" thickBot="1" x14ac:dyDescent="0.35"/>
    <row r="11" spans="1:10" x14ac:dyDescent="0.3">
      <c r="B11" s="26"/>
      <c r="C11" s="26" t="s">
        <v>55</v>
      </c>
      <c r="D11" s="26"/>
      <c r="F11" s="26" t="s">
        <v>51</v>
      </c>
      <c r="G11" s="26" t="s">
        <v>48</v>
      </c>
      <c r="I11" s="26" t="s">
        <v>50</v>
      </c>
      <c r="J11" s="26" t="s">
        <v>48</v>
      </c>
    </row>
    <row r="12" spans="1:10" ht="15" thickBot="1" x14ac:dyDescent="0.35">
      <c r="B12" s="27" t="s">
        <v>18</v>
      </c>
      <c r="C12" s="27" t="s">
        <v>19</v>
      </c>
      <c r="D12" s="27" t="s">
        <v>46</v>
      </c>
      <c r="F12" s="27" t="s">
        <v>56</v>
      </c>
      <c r="G12" s="27" t="s">
        <v>57</v>
      </c>
      <c r="I12" s="27" t="s">
        <v>56</v>
      </c>
      <c r="J12" s="27" t="s">
        <v>57</v>
      </c>
    </row>
    <row r="13" spans="1:10" x14ac:dyDescent="0.3">
      <c r="B13" s="11" t="s">
        <v>32</v>
      </c>
      <c r="C13" s="11" t="s">
        <v>58</v>
      </c>
      <c r="D13" s="25">
        <v>125</v>
      </c>
      <c r="F13" s="25">
        <v>125</v>
      </c>
      <c r="G13" s="25">
        <v>22150</v>
      </c>
      <c r="I13" s="11" t="e">
        <v>#N/A</v>
      </c>
      <c r="J13" s="11" t="e">
        <v>#N/A</v>
      </c>
    </row>
    <row r="14" spans="1:10" ht="15" thickBot="1" x14ac:dyDescent="0.35">
      <c r="B14" s="9" t="s">
        <v>82</v>
      </c>
      <c r="C14" s="9" t="s">
        <v>59</v>
      </c>
      <c r="D14" s="24">
        <v>20</v>
      </c>
      <c r="F14" s="24">
        <v>20</v>
      </c>
      <c r="G14" s="24">
        <v>22150</v>
      </c>
      <c r="I14" s="9" t="e">
        <v>#N/A</v>
      </c>
      <c r="J14" s="9" t="e">
        <v>#N/A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G16"/>
  <sheetViews>
    <sheetView workbookViewId="0">
      <selection activeCell="J7" sqref="J7"/>
    </sheetView>
  </sheetViews>
  <sheetFormatPr baseColWidth="10" defaultRowHeight="14.4" x14ac:dyDescent="0.3"/>
  <cols>
    <col min="2" max="2" width="8.44140625" customWidth="1"/>
    <col min="3" max="3" width="7.44140625" customWidth="1"/>
    <col min="4" max="4" width="6.77734375" customWidth="1"/>
    <col min="6" max="6" width="10.21875" customWidth="1"/>
    <col min="7" max="7" width="9" customWidth="1"/>
  </cols>
  <sheetData>
    <row r="5" spans="3:7" ht="18" x14ac:dyDescent="0.35">
      <c r="C5" s="16" t="s">
        <v>75</v>
      </c>
      <c r="D5" s="16"/>
      <c r="E5" s="16"/>
      <c r="F5" s="16"/>
    </row>
    <row r="6" spans="3:7" x14ac:dyDescent="0.3">
      <c r="D6" s="17" t="s">
        <v>1</v>
      </c>
      <c r="E6" s="17"/>
      <c r="F6" s="17"/>
    </row>
    <row r="7" spans="3:7" x14ac:dyDescent="0.3">
      <c r="D7" s="2" t="s">
        <v>58</v>
      </c>
      <c r="E7" s="2" t="s">
        <v>59</v>
      </c>
    </row>
    <row r="8" spans="3:7" x14ac:dyDescent="0.3">
      <c r="D8" s="20">
        <v>125</v>
      </c>
      <c r="E8" s="20">
        <v>20</v>
      </c>
    </row>
    <row r="10" spans="3:7" x14ac:dyDescent="0.3">
      <c r="D10" s="17" t="s">
        <v>60</v>
      </c>
      <c r="E10" s="17"/>
      <c r="F10" s="17"/>
    </row>
    <row r="11" spans="3:7" x14ac:dyDescent="0.3">
      <c r="D11" s="2">
        <v>150</v>
      </c>
      <c r="E11" s="2">
        <v>170</v>
      </c>
      <c r="F11" s="20">
        <f>(D11*D8)+(E11*E8)</f>
        <v>22150</v>
      </c>
    </row>
    <row r="12" spans="3:7" x14ac:dyDescent="0.3">
      <c r="D12" s="4"/>
      <c r="E12" s="4"/>
    </row>
    <row r="13" spans="3:7" x14ac:dyDescent="0.3">
      <c r="D13" s="19" t="s">
        <v>61</v>
      </c>
      <c r="E13" s="19"/>
      <c r="F13" s="19"/>
    </row>
    <row r="14" spans="3:7" x14ac:dyDescent="0.3">
      <c r="D14" s="2">
        <v>80</v>
      </c>
      <c r="E14" s="2">
        <v>40</v>
      </c>
      <c r="F14" s="20">
        <f>(D14*D8)+(E14*E8)</f>
        <v>10800</v>
      </c>
      <c r="G14" s="2">
        <v>3000</v>
      </c>
    </row>
    <row r="15" spans="3:7" x14ac:dyDescent="0.3">
      <c r="D15" s="2">
        <v>8</v>
      </c>
      <c r="E15" s="2">
        <v>0</v>
      </c>
      <c r="F15" s="20">
        <f>(D15*D8)+(E15*E8)</f>
        <v>1000</v>
      </c>
      <c r="G15" s="2">
        <v>1000</v>
      </c>
    </row>
    <row r="16" spans="3:7" x14ac:dyDescent="0.3">
      <c r="D16" s="2">
        <v>0</v>
      </c>
      <c r="E16" s="2">
        <v>40</v>
      </c>
      <c r="F16" s="20">
        <f>(D16*D8)+(E16*E8)</f>
        <v>800</v>
      </c>
      <c r="G16" s="2">
        <v>800</v>
      </c>
    </row>
  </sheetData>
  <mergeCells count="4">
    <mergeCell ref="C5:F5"/>
    <mergeCell ref="D6:F6"/>
    <mergeCell ref="D10:F10"/>
    <mergeCell ref="D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Rapport de solution 1</vt:lpstr>
      <vt:lpstr>Rapport de sensibilité 1</vt:lpstr>
      <vt:lpstr>Rapport des limites 1</vt:lpstr>
      <vt:lpstr>TD1</vt:lpstr>
      <vt:lpstr>Rapport de solution 2</vt:lpstr>
      <vt:lpstr>Rapport de sensibilité 2</vt:lpstr>
      <vt:lpstr>Rapport des limites 2</vt:lpstr>
      <vt:lpstr>TD2</vt:lpstr>
      <vt:lpstr>Rapport de solution 3</vt:lpstr>
      <vt:lpstr>Rapport de sensibilité 3</vt:lpstr>
      <vt:lpstr>Rapport des limites 3</vt:lpstr>
      <vt:lpstr>TD3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diouf</dc:creator>
  <cp:lastModifiedBy>abdallah diouf</cp:lastModifiedBy>
  <dcterms:created xsi:type="dcterms:W3CDTF">2025-11-18T10:52:26Z</dcterms:created>
  <dcterms:modified xsi:type="dcterms:W3CDTF">2025-11-18T13:22:32Z</dcterms:modified>
</cp:coreProperties>
</file>